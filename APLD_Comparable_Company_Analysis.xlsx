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$#,##0.00"/>
    <numFmt numFmtId="167" formatCode="0.0&quot;x&quot;"/>
  </numFmts>
  <fonts count="8">
    <font>
      <name val="Calibri"/>
      <family val="2"/>
      <color theme="1"/>
      <sz val="11"/>
      <scheme val="minor"/>
    </font>
    <font>
      <name val="Times New Roman"/>
      <b val="1"/>
      <color rgb="0017365D"/>
      <sz val="14"/>
    </font>
    <font>
      <name val="Times New Roman"/>
      <color rgb="00555555"/>
      <sz val="11"/>
    </font>
    <font>
      <name val="Times New Roman"/>
      <i val="1"/>
      <color rgb="00777777"/>
      <sz val="10"/>
    </font>
    <font>
      <name val="Times New Roman"/>
      <b val="1"/>
      <color rgb="00FFFFFF"/>
      <sz val="12"/>
    </font>
    <font>
      <name val="Times New Roman"/>
      <b val="1"/>
      <sz val="11"/>
    </font>
    <font>
      <name val="Times New Roman"/>
      <sz val="11"/>
    </font>
    <font>
      <name val="Times New Roman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3" fontId="6" fillId="4" borderId="0" applyAlignment="1" pivotButton="0" quotePrefix="0" xfId="0">
      <alignment horizontal="center" vertical="center"/>
    </xf>
    <xf numFmtId="164" fontId="6" fillId="4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center" vertical="center"/>
    </xf>
    <xf numFmtId="164" fontId="6" fillId="5" borderId="0" applyAlignment="1" pivotButton="0" quotePrefix="0" xfId="0">
      <alignment horizontal="center" vertical="center"/>
    </xf>
    <xf numFmtId="165" fontId="6" fillId="5" borderId="0" applyAlignment="1" pivotButton="0" quotePrefix="0" xfId="0">
      <alignment horizontal="center" vertical="center"/>
    </xf>
    <xf numFmtId="166" fontId="6" fillId="5" borderId="0" applyAlignment="1" pivotButton="0" quotePrefix="0" xfId="0">
      <alignment horizontal="center" vertical="center"/>
    </xf>
    <xf numFmtId="167" fontId="6" fillId="4" borderId="0" applyAlignment="1" pivotButton="0" quotePrefix="0" xfId="0">
      <alignment horizontal="center" vertical="center"/>
    </xf>
    <xf numFmtId="0" fontId="0" fillId="5" borderId="0" pivotButton="0" quotePrefix="0" xfId="0"/>
    <xf numFmtId="167" fontId="6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Data</author>
  </authors>
  <commentList>
    <comment ref="B7" authorId="0" shapeId="0">
      <text>
        <t>Analyst consensus estimate. Source: StockAnalysis.com, Yahoo Finance</t>
      </text>
    </comment>
    <comment ref="C7" authorId="0" shapeId="0">
      <text>
        <t>Analyst consensus / company guidance extrapolation</t>
      </text>
    </comment>
    <comment ref="B8" authorId="0" shapeId="0">
      <text>
        <t>Analyst consensus estimate. Source: StockAnalysis.com, Yahoo Finance</t>
      </text>
    </comment>
    <comment ref="C8" authorId="0" shapeId="0">
      <text>
        <t>Analyst consensus / company guidance extrapolation</t>
      </text>
    </comment>
    <comment ref="B9" authorId="0" shapeId="0">
      <text>
        <t>Analyst consensus estimate. Source: StockAnalysis.com, Yahoo Finance</t>
      </text>
    </comment>
    <comment ref="C9" authorId="0" shapeId="0">
      <text>
        <t>Analyst consensus / company guidance extrapolation</t>
      </text>
    </comment>
    <comment ref="B10" authorId="0" shapeId="0">
      <text>
        <t>Analyst consensus estimate. Source: StockAnalysis.com, Yahoo Finance</t>
      </text>
    </comment>
    <comment ref="C10" authorId="0" shapeId="0">
      <text>
        <t>Analyst consensus / company guidance extrapolation</t>
      </text>
    </comment>
    <comment ref="B21" authorId="0" shapeId="0">
      <text>
        <t>As of March 10, 2026. Source: Yahoo Finance</t>
      </text>
    </comment>
    <comment ref="C21" authorId="0" shapeId="0">
      <text>
        <t>Source: Yahoo Finance / StockAnalysis.com</t>
      </text>
    </comment>
    <comment ref="D21" authorId="0" shapeId="0">
      <text>
        <t>Market Cap + Net Debt. Source: Yahoo Finance, company filings</t>
      </text>
    </comment>
    <comment ref="I21" authorId="0" shapeId="0">
      <text>
        <t>Average analyst price target. Source: StockAnalysis.com</t>
      </text>
    </comment>
    <comment ref="B22" authorId="0" shapeId="0">
      <text>
        <t>As of March 10, 2026. Source: Yahoo Finance</t>
      </text>
    </comment>
    <comment ref="C22" authorId="0" shapeId="0">
      <text>
        <t>Source: Yahoo Finance / StockAnalysis.com</t>
      </text>
    </comment>
    <comment ref="D22" authorId="0" shapeId="0">
      <text>
        <t>Market Cap + Net Debt. Source: Yahoo Finance, company filings</t>
      </text>
    </comment>
    <comment ref="I22" authorId="0" shapeId="0">
      <text>
        <t>Average analyst price target. Source: StockAnalysis.com</t>
      </text>
    </comment>
    <comment ref="B23" authorId="0" shapeId="0">
      <text>
        <t>As of March 10, 2026. Source: Yahoo Finance</t>
      </text>
    </comment>
    <comment ref="C23" authorId="0" shapeId="0">
      <text>
        <t>Source: Yahoo Finance / StockAnalysis.com</t>
      </text>
    </comment>
    <comment ref="D23" authorId="0" shapeId="0">
      <text>
        <t>Market Cap + Net Debt. Source: Yahoo Finance, company filings</t>
      </text>
    </comment>
    <comment ref="I23" authorId="0" shapeId="0">
      <text>
        <t>Average analyst price target. Source: StockAnalysis.com</t>
      </text>
    </comment>
    <comment ref="B24" authorId="0" shapeId="0">
      <text>
        <t>As of March 10, 2026. Source: Yahoo Finance</t>
      </text>
    </comment>
    <comment ref="C24" authorId="0" shapeId="0">
      <text>
        <t>Source: Yahoo Finance / StockAnalysis.com</t>
      </text>
    </comment>
    <comment ref="D24" authorId="0" shapeId="0">
      <text>
        <t>Market Cap + Net Debt. Source: Yahoo Finance, company filings</t>
      </text>
    </comment>
    <comment ref="I24" authorId="0" shapeId="0">
      <text>
        <t>Average analyst price target. Source: StockAnalysis.com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0" customHeight="1">
      <c r="A1" s="1" t="inlineStr">
        <is>
          <t>AI / HPC DATA CENTER INFRASTRUCTURE — COMPARABLE COMPANY ANALYSIS</t>
        </is>
      </c>
    </row>
    <row r="2" ht="20" customHeight="1">
      <c r="A2" s="2" t="inlineStr">
        <is>
          <t>Applied Digital (APLD) • Core Scientific (CORZ) • IREN Limited (IREN) • TeraWulf (WULF)</t>
        </is>
      </c>
    </row>
    <row r="3" ht="18" customHeight="1">
      <c r="A3" s="3" t="inlineStr">
        <is>
          <t>As of March 2026 | Forward Estimates (FY2026E / FY2027E) | All figures in USD Millions except per-share amounts, ratios, and multiples</t>
        </is>
      </c>
    </row>
    <row r="4" ht="10" customHeight="1"/>
    <row r="5" ht="28" customHeight="1">
      <c r="A5" s="4" t="inlineStr">
        <is>
          <t>OPERATING STATISTICS &amp; FINANCIAL METRICS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32" customHeight="1">
      <c r="A6" s="6" t="inlineStr">
        <is>
          <t>Company</t>
        </is>
      </c>
      <c r="B6" s="6" t="inlineStr">
        <is>
          <t>FY2026E
Revenue</t>
        </is>
      </c>
      <c r="C6" s="6" t="inlineStr">
        <is>
          <t>FY2027E
Revenue</t>
        </is>
      </c>
      <c r="D6" s="6" t="inlineStr">
        <is>
          <t>Revenue
Growth (YoY)</t>
        </is>
      </c>
      <c r="E6" s="6" t="inlineStr">
        <is>
          <t>Gross
Margin</t>
        </is>
      </c>
      <c r="F6" s="6" t="inlineStr">
        <is>
          <t>EBITDA
Margin</t>
        </is>
      </c>
      <c r="G6" s="6" t="inlineStr">
        <is>
          <t>LTM
Revenue</t>
        </is>
      </c>
      <c r="H6" s="6" t="inlineStr">
        <is>
          <t>Contracted
Lease Rev ($B)</t>
        </is>
      </c>
      <c r="I6" s="6" t="inlineStr">
        <is>
          <t>EPS
(FY2026E)</t>
        </is>
      </c>
    </row>
    <row r="7" ht="22" customHeight="1">
      <c r="A7" s="7" t="inlineStr">
        <is>
          <t>Applied Digital (APLD)</t>
        </is>
      </c>
      <c r="B7" s="8" t="n">
        <v>308</v>
      </c>
      <c r="C7" s="8" t="n">
        <v>535</v>
      </c>
      <c r="D7" s="9" t="n">
        <v>0.74</v>
      </c>
      <c r="E7" s="9" t="n">
        <v>0.205</v>
      </c>
      <c r="F7" s="9" t="n">
        <v>0.16</v>
      </c>
      <c r="G7" s="8" t="n">
        <v>190</v>
      </c>
      <c r="H7" s="10" t="n">
        <v>16</v>
      </c>
      <c r="I7" s="11" t="n">
        <v>-0.39</v>
      </c>
    </row>
    <row r="8" ht="22" customHeight="1">
      <c r="A8" s="7" t="inlineStr">
        <is>
          <t>Core Scientific (CORZ)</t>
        </is>
      </c>
      <c r="B8" s="8" t="n">
        <v>254</v>
      </c>
      <c r="C8" s="8" t="n">
        <v>500</v>
      </c>
      <c r="D8" s="9" t="n">
        <v>0.97</v>
      </c>
      <c r="E8" s="9" t="n">
        <v>0.55</v>
      </c>
      <c r="F8" s="9" t="n">
        <v>0.4</v>
      </c>
      <c r="G8" s="8" t="n">
        <v>319</v>
      </c>
      <c r="H8" s="10" t="n"/>
      <c r="I8" s="11" t="n">
        <v>0.15</v>
      </c>
    </row>
    <row r="9" ht="22" customHeight="1">
      <c r="A9" s="7" t="inlineStr">
        <is>
          <t>IREN Limited (IREN)</t>
        </is>
      </c>
      <c r="B9" s="8" t="n">
        <v>740</v>
      </c>
      <c r="C9" s="8" t="n">
        <v>1500</v>
      </c>
      <c r="D9" s="9" t="n">
        <v>1.03</v>
      </c>
      <c r="E9" s="9" t="n">
        <v>0.6</v>
      </c>
      <c r="F9" s="9" t="n">
        <v>0.55</v>
      </c>
      <c r="G9" s="8" t="n">
        <v>370</v>
      </c>
      <c r="H9" s="10" t="n">
        <v>2.3</v>
      </c>
      <c r="I9" s="11" t="n">
        <v>-0.21</v>
      </c>
    </row>
    <row r="10" ht="22" customHeight="1">
      <c r="A10" s="7" t="inlineStr">
        <is>
          <t>TeraWulf (WULF)</t>
        </is>
      </c>
      <c r="B10" s="8" t="n">
        <v>300</v>
      </c>
      <c r="C10" s="8" t="n">
        <v>670</v>
      </c>
      <c r="D10" s="9" t="n">
        <v>1.23</v>
      </c>
      <c r="E10" s="9" t="n">
        <v>0.5</v>
      </c>
      <c r="F10" s="9" t="n">
        <v>0.35</v>
      </c>
      <c r="G10" s="8" t="n">
        <v>169</v>
      </c>
      <c r="H10" s="10" t="n">
        <v>12.8</v>
      </c>
      <c r="I10" s="11" t="n">
        <v>-0.29</v>
      </c>
    </row>
    <row r="11" ht="8" customHeight="1"/>
    <row r="12" ht="22" customHeight="1">
      <c r="A12" s="12" t="inlineStr">
        <is>
          <t>Maximum</t>
        </is>
      </c>
      <c r="B12" s="13">
        <f>MAX(B7:B10)</f>
        <v/>
      </c>
      <c r="C12" s="13">
        <f>MAX(C7:C10)</f>
        <v/>
      </c>
      <c r="D12" s="14">
        <f>MAX(D7:D10)</f>
        <v/>
      </c>
      <c r="E12" s="14">
        <f>MAX(E7:E10)</f>
        <v/>
      </c>
      <c r="F12" s="14">
        <f>MAX(F7:F10)</f>
        <v/>
      </c>
      <c r="G12" s="13">
        <f>MAX(G7:G10)</f>
        <v/>
      </c>
      <c r="H12" s="15">
        <f>MAX(H7:H10)</f>
        <v/>
      </c>
      <c r="I12" s="16">
        <f>MAX(I7:I10)</f>
        <v/>
      </c>
    </row>
    <row r="13" ht="22" customHeight="1">
      <c r="A13" s="12" t="inlineStr">
        <is>
          <t>75th Percentile</t>
        </is>
      </c>
      <c r="B13" s="13">
        <f>QUARTILE(B7:B10,3)</f>
        <v/>
      </c>
      <c r="C13" s="13">
        <f>QUARTILE(C7:C10,3)</f>
        <v/>
      </c>
      <c r="D13" s="14">
        <f>QUARTILE(D7:D10,3)</f>
        <v/>
      </c>
      <c r="E13" s="14">
        <f>QUARTILE(E7:E10,3)</f>
        <v/>
      </c>
      <c r="F13" s="14">
        <f>QUARTILE(F7:F10,3)</f>
        <v/>
      </c>
      <c r="G13" s="13">
        <f>QUARTILE(G7:G10,3)</f>
        <v/>
      </c>
      <c r="H13" s="15">
        <f>QUARTILE(H7:H10,3)</f>
        <v/>
      </c>
      <c r="I13" s="16">
        <f>QUARTILE(I7:I10,3)</f>
        <v/>
      </c>
    </row>
    <row r="14" ht="22" customHeight="1">
      <c r="A14" s="12" t="inlineStr">
        <is>
          <t>Median</t>
        </is>
      </c>
      <c r="B14" s="13">
        <f>MEDIAN(B7:B10)</f>
        <v/>
      </c>
      <c r="C14" s="13">
        <f>MEDIAN(C7:C10)</f>
        <v/>
      </c>
      <c r="D14" s="14">
        <f>MEDIAN(D7:D10)</f>
        <v/>
      </c>
      <c r="E14" s="14">
        <f>MEDIAN(E7:E10)</f>
        <v/>
      </c>
      <c r="F14" s="14">
        <f>MEDIAN(F7:F10)</f>
        <v/>
      </c>
      <c r="G14" s="13">
        <f>MEDIAN(G7:G10)</f>
        <v/>
      </c>
      <c r="H14" s="15">
        <f>MEDIAN(H7:H10)</f>
        <v/>
      </c>
      <c r="I14" s="16">
        <f>MEDIAN(I7:I10)</f>
        <v/>
      </c>
    </row>
    <row r="15" ht="22" customHeight="1">
      <c r="A15" s="12" t="inlineStr">
        <is>
          <t>25th Percentile</t>
        </is>
      </c>
      <c r="B15" s="13">
        <f>QUARTILE(B7:B10,1)</f>
        <v/>
      </c>
      <c r="C15" s="13">
        <f>QUARTILE(C7:C10,1)</f>
        <v/>
      </c>
      <c r="D15" s="14">
        <f>QUARTILE(D7:D10,1)</f>
        <v/>
      </c>
      <c r="E15" s="14">
        <f>QUARTILE(E7:E10,1)</f>
        <v/>
      </c>
      <c r="F15" s="14">
        <f>QUARTILE(F7:F10,1)</f>
        <v/>
      </c>
      <c r="G15" s="13">
        <f>QUARTILE(G7:G10,1)</f>
        <v/>
      </c>
      <c r="H15" s="15">
        <f>QUARTILE(H7:H10,1)</f>
        <v/>
      </c>
      <c r="I15" s="16">
        <f>QUARTILE(I7:I10,1)</f>
        <v/>
      </c>
    </row>
    <row r="16" ht="22" customHeight="1">
      <c r="A16" s="12" t="inlineStr">
        <is>
          <t>Minimum</t>
        </is>
      </c>
      <c r="B16" s="13">
        <f>MIN(B7:B10)</f>
        <v/>
      </c>
      <c r="C16" s="13">
        <f>MIN(C7:C10)</f>
        <v/>
      </c>
      <c r="D16" s="14">
        <f>MIN(D7:D10)</f>
        <v/>
      </c>
      <c r="E16" s="14">
        <f>MIN(E7:E10)</f>
        <v/>
      </c>
      <c r="F16" s="14">
        <f>MIN(F7:F10)</f>
        <v/>
      </c>
      <c r="G16" s="13">
        <f>MIN(G7:G10)</f>
        <v/>
      </c>
      <c r="H16" s="15">
        <f>MIN(H7:H10)</f>
        <v/>
      </c>
      <c r="I16" s="16">
        <f>MIN(I7:I10)</f>
        <v/>
      </c>
    </row>
    <row r="18" ht="10" customHeight="1"/>
    <row r="19" ht="28" customHeight="1">
      <c r="A19" s="4" t="inlineStr">
        <is>
          <t>VALUATION MULTIPLES &amp; INVESTMENT METRICS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 ht="32" customHeight="1">
      <c r="A20" s="6" t="inlineStr">
        <is>
          <t>Company</t>
        </is>
      </c>
      <c r="B20" s="6" t="inlineStr">
        <is>
          <t>Stock
Price</t>
        </is>
      </c>
      <c r="C20" s="6" t="inlineStr">
        <is>
          <t>Market Cap
($M)</t>
        </is>
      </c>
      <c r="D20" s="6" t="inlineStr">
        <is>
          <t>Enterprise
Value ($M)</t>
        </is>
      </c>
      <c r="E20" s="6" t="inlineStr">
        <is>
          <t>EV / FY26E
Revenue</t>
        </is>
      </c>
      <c r="F20" s="6" t="inlineStr">
        <is>
          <t>EV / FY27E
Revenue</t>
        </is>
      </c>
      <c r="G20" s="6" t="inlineStr">
        <is>
          <t>EV / EBITDA
(FY26E)</t>
        </is>
      </c>
      <c r="H20" s="6" t="inlineStr">
        <is>
          <t>P/E
(FY26E)</t>
        </is>
      </c>
      <c r="I20" s="6" t="inlineStr">
        <is>
          <t>Analyst
Target</t>
        </is>
      </c>
    </row>
    <row r="21" ht="22" customHeight="1">
      <c r="A21" s="7" t="inlineStr">
        <is>
          <t>Applied Digital (APLD)</t>
        </is>
      </c>
      <c r="B21" s="11" t="n">
        <v>27.71</v>
      </c>
      <c r="C21" s="8" t="n">
        <v>7750</v>
      </c>
      <c r="D21" s="8" t="n">
        <v>7720</v>
      </c>
      <c r="E21" s="17">
        <f>D21/B7</f>
        <v/>
      </c>
      <c r="F21" s="17">
        <f>D21/C7</f>
        <v/>
      </c>
      <c r="G21" s="17">
        <f>D21/(B7*F7)</f>
        <v/>
      </c>
      <c r="H21" s="17">
        <f>IF(I7&gt;0,B21/I7,"N/A")</f>
        <v/>
      </c>
      <c r="I21" s="11" t="n">
        <v>36</v>
      </c>
    </row>
    <row r="22" ht="22" customHeight="1">
      <c r="A22" s="7" t="inlineStr">
        <is>
          <t>Core Scientific (CORZ)</t>
        </is>
      </c>
      <c r="B22" s="11" t="n">
        <v>15.3</v>
      </c>
      <c r="C22" s="8" t="n">
        <v>5500</v>
      </c>
      <c r="D22" s="8" t="n">
        <v>6100</v>
      </c>
      <c r="E22" s="17">
        <f>D22/B8</f>
        <v/>
      </c>
      <c r="F22" s="17">
        <f>D22/C8</f>
        <v/>
      </c>
      <c r="G22" s="17">
        <f>D22/(B8*F8)</f>
        <v/>
      </c>
      <c r="H22" s="17">
        <f>IF(I8&gt;0,B22/I8,"N/A")</f>
        <v/>
      </c>
      <c r="I22" s="11" t="n">
        <v>25.94</v>
      </c>
    </row>
    <row r="23" ht="22" customHeight="1">
      <c r="A23" s="7" t="inlineStr">
        <is>
          <t>IREN Limited (IREN)</t>
        </is>
      </c>
      <c r="B23" s="11" t="n">
        <v>38.88</v>
      </c>
      <c r="C23" s="8" t="n">
        <v>12900</v>
      </c>
      <c r="D23" s="8" t="n">
        <v>13500</v>
      </c>
      <c r="E23" s="17">
        <f>D23/B9</f>
        <v/>
      </c>
      <c r="F23" s="17">
        <f>D23/C9</f>
        <v/>
      </c>
      <c r="G23" s="17">
        <f>D23/(B9*F9)</f>
        <v/>
      </c>
      <c r="H23" s="17">
        <f>IF(I9&gt;0,B23/I9,"N/A")</f>
        <v/>
      </c>
      <c r="I23" s="11" t="n">
        <v>80</v>
      </c>
    </row>
    <row r="24" ht="22" customHeight="1">
      <c r="A24" s="7" t="inlineStr">
        <is>
          <t>TeraWulf (WULF)</t>
        </is>
      </c>
      <c r="B24" s="11" t="n">
        <v>13.76</v>
      </c>
      <c r="C24" s="8" t="n">
        <v>5900</v>
      </c>
      <c r="D24" s="8" t="n">
        <v>7900</v>
      </c>
      <c r="E24" s="17">
        <f>D24/B10</f>
        <v/>
      </c>
      <c r="F24" s="17">
        <f>D24/C10</f>
        <v/>
      </c>
      <c r="G24" s="17">
        <f>D24/(B10*F10)</f>
        <v/>
      </c>
      <c r="H24" s="17">
        <f>IF(I10&gt;0,B24/I10,"N/A")</f>
        <v/>
      </c>
      <c r="I24" s="11" t="n">
        <v>23.56</v>
      </c>
    </row>
    <row r="25" ht="8" customHeight="1"/>
    <row r="26" ht="22" customHeight="1">
      <c r="A26" s="12" t="inlineStr">
        <is>
          <t>Maximum</t>
        </is>
      </c>
      <c r="B26" s="18" t="n"/>
      <c r="C26" s="13">
        <f>MAX(C21:C24)</f>
        <v/>
      </c>
      <c r="D26" s="13">
        <f>MAX(D21:D24)</f>
        <v/>
      </c>
      <c r="E26" s="19">
        <f>MAX(E21:E24)</f>
        <v/>
      </c>
      <c r="F26" s="19">
        <f>MAX(F21:F24)</f>
        <v/>
      </c>
      <c r="G26" s="19">
        <f>MAX(G21:G24)</f>
        <v/>
      </c>
      <c r="H26" s="18" t="n"/>
      <c r="I26" s="16">
        <f>MAX(I21:I24)</f>
        <v/>
      </c>
    </row>
    <row r="27" ht="22" customHeight="1">
      <c r="A27" s="12" t="inlineStr">
        <is>
          <t>75th Percentile</t>
        </is>
      </c>
      <c r="B27" s="18" t="n"/>
      <c r="C27" s="13">
        <f>QUARTILE(C21:C24,3)</f>
        <v/>
      </c>
      <c r="D27" s="13">
        <f>QUARTILE(D21:D24,3)</f>
        <v/>
      </c>
      <c r="E27" s="19">
        <f>QUARTILE(E21:E24,3)</f>
        <v/>
      </c>
      <c r="F27" s="19">
        <f>QUARTILE(F21:F24,3)</f>
        <v/>
      </c>
      <c r="G27" s="19">
        <f>QUARTILE(G21:G24,3)</f>
        <v/>
      </c>
      <c r="H27" s="18" t="n"/>
      <c r="I27" s="16">
        <f>QUARTILE(I21:I24,3)</f>
        <v/>
      </c>
    </row>
    <row r="28" ht="22" customHeight="1">
      <c r="A28" s="12" t="inlineStr">
        <is>
          <t>Median</t>
        </is>
      </c>
      <c r="B28" s="18" t="n"/>
      <c r="C28" s="13">
        <f>MEDIAN(C21:C24)</f>
        <v/>
      </c>
      <c r="D28" s="13">
        <f>MEDIAN(D21:D24)</f>
        <v/>
      </c>
      <c r="E28" s="19">
        <f>MEDIAN(E21:E24)</f>
        <v/>
      </c>
      <c r="F28" s="19">
        <f>MEDIAN(F21:F24)</f>
        <v/>
      </c>
      <c r="G28" s="19">
        <f>MEDIAN(G21:G24)</f>
        <v/>
      </c>
      <c r="H28" s="18" t="n"/>
      <c r="I28" s="16">
        <f>MEDIAN(I21:I24)</f>
        <v/>
      </c>
    </row>
    <row r="29" ht="22" customHeight="1">
      <c r="A29" s="12" t="inlineStr">
        <is>
          <t>25th Percentile</t>
        </is>
      </c>
      <c r="B29" s="18" t="n"/>
      <c r="C29" s="13">
        <f>QUARTILE(C21:C24,1)</f>
        <v/>
      </c>
      <c r="D29" s="13">
        <f>QUARTILE(D21:D24,1)</f>
        <v/>
      </c>
      <c r="E29" s="19">
        <f>QUARTILE(E21:E24,1)</f>
        <v/>
      </c>
      <c r="F29" s="19">
        <f>QUARTILE(F21:F24,1)</f>
        <v/>
      </c>
      <c r="G29" s="19">
        <f>QUARTILE(G21:G24,1)</f>
        <v/>
      </c>
      <c r="H29" s="18" t="n"/>
      <c r="I29" s="16">
        <f>QUARTILE(I21:I24,1)</f>
        <v/>
      </c>
    </row>
    <row r="30" ht="22" customHeight="1">
      <c r="A30" s="12" t="inlineStr">
        <is>
          <t>Minimum</t>
        </is>
      </c>
      <c r="B30" s="18" t="n"/>
      <c r="C30" s="13">
        <f>MIN(C21:C24)</f>
        <v/>
      </c>
      <c r="D30" s="13">
        <f>MIN(D21:D24)</f>
        <v/>
      </c>
      <c r="E30" s="19">
        <f>MIN(E21:E24)</f>
        <v/>
      </c>
      <c r="F30" s="19">
        <f>MIN(F21:F24)</f>
        <v/>
      </c>
      <c r="G30" s="19">
        <f>MIN(G21:G24)</f>
        <v/>
      </c>
      <c r="H30" s="18" t="n"/>
      <c r="I30" s="16">
        <f>MIN(I21:I24)</f>
        <v/>
      </c>
    </row>
    <row r="32" ht="10" customHeight="1"/>
    <row r="33" ht="28" customHeight="1">
      <c r="A33" s="4" t="inlineStr">
        <is>
          <t>NOTES &amp; METHODOLOGY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</row>
    <row r="34" ht="18" customHeight="1">
      <c r="A34" s="20" t="inlineStr">
        <is>
          <t>DATA SOURCES</t>
        </is>
      </c>
    </row>
    <row r="35" ht="18" customHeight="1">
      <c r="A35" s="21" t="inlineStr">
        <is>
          <t>• Stock prices as of March 10, 2026 (Yahoo Finance)</t>
        </is>
      </c>
    </row>
    <row r="36" ht="18" customHeight="1">
      <c r="A36" s="21" t="inlineStr">
        <is>
          <t>• Forward revenue estimates from analyst consensus (StockAnalysis.com, Yahoo Finance, Seeking Alpha)</t>
        </is>
      </c>
    </row>
    <row r="37" ht="18" customHeight="1">
      <c r="A37" s="21" t="inlineStr">
        <is>
          <t>• Gross/EBITDA margins from most recent quarterly filings (10-Q/10-K, company press releases)</t>
        </is>
      </c>
    </row>
    <row r="38" ht="18" customHeight="1">
      <c r="A38" s="21" t="inlineStr">
        <is>
          <t>• Enterprise Value = Market Cap + Net Debt (from most recent balance sheet)</t>
        </is>
      </c>
    </row>
    <row r="39" ht="18" customHeight="1">
      <c r="A39" s="21" t="inlineStr">
        <is>
          <t>• Contracted lease revenue from company IR presentations and press releases</t>
        </is>
      </c>
    </row>
    <row r="40" ht="18" customHeight="1">
      <c r="A40" s="21" t="inlineStr"/>
    </row>
    <row r="41" ht="18" customHeight="1">
      <c r="A41" s="20" t="inlineStr">
        <is>
          <t>KEY DEFINITIONS</t>
        </is>
      </c>
    </row>
    <row r="42" ht="18" customHeight="1">
      <c r="A42" s="21" t="inlineStr">
        <is>
          <t>• FY2026E / FY2027E: Fiscal year ending per company calendar (APLD: Jun, CORZ: Dec, IREN: Jun, WULF: Dec)</t>
        </is>
      </c>
    </row>
    <row r="43" ht="18" customHeight="1">
      <c r="A43" s="21" t="inlineStr">
        <is>
          <t>• EV/Revenue: Enterprise Value divided by forward revenue estimate</t>
        </is>
      </c>
    </row>
    <row r="44" ht="18" customHeight="1">
      <c r="A44" s="21" t="inlineStr">
        <is>
          <t>• EV/EBITDA: Enterprise Value divided by (Forward Revenue × EBITDA Margin estimate)</t>
        </is>
      </c>
    </row>
    <row r="45" ht="18" customHeight="1">
      <c r="A45" s="21" t="inlineStr">
        <is>
          <t>• Revenue Growth (YoY): FY2027E Revenue / FY2026E Revenue - 1</t>
        </is>
      </c>
    </row>
    <row r="46" ht="18" customHeight="1">
      <c r="A46" s="21" t="inlineStr">
        <is>
          <t>• LTM Revenue: Last twelve months of reported revenue</t>
        </is>
      </c>
    </row>
    <row r="47" ht="18" customHeight="1">
      <c r="A47" s="21" t="inlineStr"/>
    </row>
    <row r="48" ht="18" customHeight="1">
      <c r="A48" s="20" t="inlineStr">
        <is>
          <t>IMPORTANT CAVEATS</t>
        </is>
      </c>
    </row>
    <row r="49" ht="18" customHeight="1">
      <c r="A49" s="21" t="inlineStr">
        <is>
          <t>• All four companies are in early stages of HPC/AI revenue ramp — current financials do not reflect steady-state economics</t>
        </is>
      </c>
    </row>
    <row r="50" ht="18" customHeight="1">
      <c r="A50" s="21" t="inlineStr">
        <is>
          <t>• APLD, CORZ, and WULF have significant CoreWeave exposure as primary hyperscaler customer</t>
        </is>
      </c>
    </row>
    <row r="51" ht="18" customHeight="1">
      <c r="A51" s="21" t="inlineStr">
        <is>
          <t>• IREN operates a different model (GPU ownership/cloud) vs. others (colocation/hosting)</t>
        </is>
      </c>
    </row>
    <row r="52" ht="18" customHeight="1">
      <c r="A52" s="21" t="inlineStr">
        <is>
          <t>• Forward estimates carry high uncertainty given pre-ramp nature of contracted revenues</t>
        </is>
      </c>
    </row>
    <row r="53" ht="18" customHeight="1">
      <c r="A53" s="21" t="inlineStr">
        <is>
          <t>• Fiscal year-end dates differ across companies — cross-company comparisons should account for timing differences</t>
        </is>
      </c>
    </row>
    <row r="54" ht="18" customHeight="1">
      <c r="A54" s="21" t="inlineStr"/>
    </row>
    <row r="55" ht="18" customHeight="1">
      <c r="A55" s="20" t="inlineStr">
        <is>
          <t>VALUATION CONTEXT</t>
        </is>
      </c>
    </row>
    <row r="56" ht="18" customHeight="1">
      <c r="A56" s="21" t="inlineStr">
        <is>
          <t>• APLD trades at 25.1x FY26E revenue — premium driven by $16B contracted backlog (largest in peer set)</t>
        </is>
      </c>
    </row>
    <row r="57" ht="18" customHeight="1">
      <c r="A57" s="21" t="inlineStr">
        <is>
          <t>• IREN's premium reflects GPU-as-a-service model with higher revenue potential but greater capex requirements</t>
        </is>
      </c>
    </row>
    <row r="58" ht="18" customHeight="1">
      <c r="A58" s="21" t="inlineStr">
        <is>
          <t>• CORZ offers the lowest forward EV/Revenue among peers — potential value opportunity as HPC ramps</t>
        </is>
      </c>
    </row>
    <row r="59" ht="18" customHeight="1">
      <c r="A59" s="21" t="inlineStr">
        <is>
          <t>• All peers carry 'Buy' or 'Strong Buy' consensus analyst ratings</t>
        </is>
      </c>
    </row>
  </sheetData>
  <mergeCells count="32">
    <mergeCell ref="A41:I41"/>
    <mergeCell ref="A37:I37"/>
    <mergeCell ref="A46:I46"/>
    <mergeCell ref="A56:I56"/>
    <mergeCell ref="A3:I3"/>
    <mergeCell ref="A55:I55"/>
    <mergeCell ref="A50:I50"/>
    <mergeCell ref="A57:I57"/>
    <mergeCell ref="A2:I2"/>
    <mergeCell ref="A33:I33"/>
    <mergeCell ref="A47:I47"/>
    <mergeCell ref="A5:I5"/>
    <mergeCell ref="A42:I42"/>
    <mergeCell ref="A53:I53"/>
    <mergeCell ref="A35:I35"/>
    <mergeCell ref="A38:I38"/>
    <mergeCell ref="A52:I52"/>
    <mergeCell ref="A43:I43"/>
    <mergeCell ref="A19:I19"/>
    <mergeCell ref="A44:I44"/>
    <mergeCell ref="A40:I40"/>
    <mergeCell ref="A58:I58"/>
    <mergeCell ref="A39:I39"/>
    <mergeCell ref="A34:I34"/>
    <mergeCell ref="A48:I48"/>
    <mergeCell ref="A59:I59"/>
    <mergeCell ref="A49:I49"/>
    <mergeCell ref="A51:I51"/>
    <mergeCell ref="A36:I36"/>
    <mergeCell ref="A1:I1"/>
    <mergeCell ref="A45:I45"/>
    <mergeCell ref="A54:I54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2026-03-10T21:26:46Z</dcterms:created>
  <dcterms:modified xmlns:dcterms="http://purl.org/dc/terms/" xmlns:xsi="http://www.w3.org/2001/XMLSchema-instance" xsi:type="dcterms:W3CDTF">2026-03-10T21:26:46Z</dcterms:modified>
</cp:coreProperties>
</file>